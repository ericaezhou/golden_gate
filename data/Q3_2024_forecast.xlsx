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Summary" sheetId="1" state="visible" r:id="rId1"/>
    <sheet xmlns:r="http://schemas.openxmlformats.org/officeDocument/2006/relationships" name="Cohort_Tracking" sheetId="2" state="visible" r:id="rId2"/>
    <sheet xmlns:r="http://schemas.openxmlformats.org/officeDocument/2006/relationships" name="Adjustment_Log" sheetId="3" state="visible" r:id="rId3"/>
    <sheet xmlns:r="http://schemas.openxmlformats.org/officeDocument/2006/relationships" name="Alice_Notes" sheetId="4" state="hidden" r:id="rId4"/>
  </sheets>
  <definedNames>
    <definedName name="OVERLAY_RANGE">Forecast_Summary!$C$2:$C$5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Alice Chen</author>
  </authors>
  <commentList>
    <comment ref="C3" authorId="0" shapeId="0">
      <text>
        <t>Based on early delinquency signals - AC</t>
      </text>
    </comment>
    <comment ref="F3" authorId="0" shapeId="0">
      <text>
        <t>TODO: document rationale before quarter-end</t>
      </text>
    </comment>
    <comment ref="C4" authorId="0" shapeId="0">
      <text>
        <t>Elevated 30-day DQ + macro concerns - AC</t>
      </text>
    </comment>
    <comment ref="C5" authorId="0" shapeId="0">
      <text>
        <t>New product buffer + macro environment - AC</t>
      </text>
    </comment>
  </commentList>
</comments>
</file>

<file path=xl/comments/comment2.xml><?xml version="1.0" encoding="utf-8"?>
<comments xmlns="http://schemas.openxmlformats.org/spreadsheetml/2006/main">
  <authors>
    <author>Alice Chen</author>
  </authors>
  <commentList>
    <comment ref="E2" authorId="0" shapeId="0">
      <text>
        <t>Two months &gt;25% variance = overlay trigger per Alice's rule</t>
      </text>
    </comment>
  </commentList>
</comments>
</file>

<file path=xl/comments/comment3.xml><?xml version="1.0" encoding="utf-8"?>
<comments xmlns="http://schemas.openxmlformats.org/spreadsheetml/2006/main">
  <authors>
    <author>System</author>
  </authors>
  <commentList>
    <comment ref="E2" authorId="0" shapeId="0">
      <text>
        <t>Approval column is frequently left blank — governance gap</t>
      </text>
    </comment>
  </commentList>
</comments>
</file>

<file path=xl/comments/comment4.xml><?xml version="1.0" encoding="utf-8"?>
<comments xmlns="http://schemas.openxmlformats.org/spreadsheetml/2006/main">
  <authors>
    <author>Alice Chen</author>
  </authors>
  <commentList>
    <comment ref="A1" authorId="0" shapeId="0">
      <text>
        <t>Personal reference — not for distribution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Model Rate</t>
        </is>
      </c>
      <c r="C1" t="inlineStr">
        <is>
          <t>Macro Overlay</t>
        </is>
      </c>
      <c r="D1" t="inlineStr">
        <is>
          <t>Final Rate</t>
        </is>
      </c>
      <c r="E1" t="inlineStr">
        <is>
          <t>Reserve Impact ($M)</t>
        </is>
      </c>
      <c r="F1" t="inlineStr">
        <is>
          <t>Rationale</t>
        </is>
      </c>
    </row>
    <row r="2">
      <c r="A2" t="inlineStr">
        <is>
          <t>Prime</t>
        </is>
      </c>
      <c r="B2" t="n">
        <v>0.023</v>
      </c>
      <c r="C2" t="n">
        <v>0</v>
      </c>
      <c r="D2">
        <f>B2+C2</f>
        <v/>
      </c>
      <c r="E2">
        <f>D2*145000000</f>
        <v/>
      </c>
      <c r="F2" t="inlineStr">
        <is>
          <t>No adjustment needed</t>
        </is>
      </c>
    </row>
    <row r="3">
      <c r="A3" t="inlineStr">
        <is>
          <t>Near Prime</t>
        </is>
      </c>
      <c r="B3" t="n">
        <v>0.051</v>
      </c>
      <c r="C3" t="n">
        <v>0.012</v>
      </c>
      <c r="D3">
        <f>B3+C3</f>
        <v/>
      </c>
      <c r="E3">
        <f>D3*82000000</f>
        <v/>
      </c>
      <c r="F3" t="inlineStr"/>
    </row>
    <row r="4">
      <c r="A4" t="inlineStr">
        <is>
          <t>Subprime</t>
        </is>
      </c>
      <c r="B4" t="n">
        <v>0.124</v>
      </c>
      <c r="C4" t="n">
        <v>0.031</v>
      </c>
      <c r="D4">
        <f>B4+C4</f>
        <v/>
      </c>
      <c r="E4">
        <f>D4*38000000</f>
        <v/>
      </c>
      <c r="F4" t="inlineStr"/>
    </row>
    <row r="5">
      <c r="A5" t="inlineStr">
        <is>
          <t>Deep Subprime</t>
        </is>
      </c>
      <c r="B5" t="n">
        <v>0.221</v>
      </c>
      <c r="C5" t="n">
        <v>0.045</v>
      </c>
      <c r="D5">
        <f>B5+C5</f>
        <v/>
      </c>
      <c r="E5">
        <f>D5*12000000</f>
        <v/>
      </c>
      <c r="F5" t="inlineStr"/>
    </row>
    <row r="6">
      <c r="A6" t="inlineStr">
        <is>
          <t>TOTAL</t>
        </is>
      </c>
      <c r="E6">
        <f>SUM(E2:E5)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Vintage</t>
        </is>
      </c>
      <c r="C1" t="inlineStr">
        <is>
          <t>Segment</t>
        </is>
      </c>
      <c r="D1" t="inlineStr">
        <is>
          <t>Expected</t>
        </is>
      </c>
      <c r="E1" t="inlineStr">
        <is>
          <t>Actual</t>
        </is>
      </c>
      <c r="F1" t="inlineStr">
        <is>
          <t>Variance</t>
        </is>
      </c>
      <c r="G1" t="inlineStr">
        <is>
          <t>Status</t>
        </is>
      </c>
    </row>
    <row r="2">
      <c r="A2" t="inlineStr">
        <is>
          <t>Q1-24</t>
        </is>
      </c>
      <c r="B2" t="inlineStr">
        <is>
          <t>Jan</t>
        </is>
      </c>
      <c r="C2" t="inlineStr">
        <is>
          <t>Near Prime</t>
        </is>
      </c>
      <c r="D2" t="n">
        <v>0.042</v>
      </c>
      <c r="E2" t="n">
        <v>0.058</v>
      </c>
      <c r="F2">
        <f>(E2-D2)/D2</f>
        <v/>
      </c>
      <c r="G2" t="inlineStr">
        <is>
          <t>REVIEW</t>
        </is>
      </c>
    </row>
    <row r="3">
      <c r="A3" t="inlineStr">
        <is>
          <t>Q1-24</t>
        </is>
      </c>
      <c r="B3" t="inlineStr">
        <is>
          <t>Feb</t>
        </is>
      </c>
      <c r="C3" t="inlineStr">
        <is>
          <t>Near Prime</t>
        </is>
      </c>
      <c r="D3" t="n">
        <v>0.041</v>
      </c>
      <c r="E3" t="n">
        <v>0.054</v>
      </c>
      <c r="F3">
        <f>(E3-D3)/D3</f>
        <v/>
      </c>
      <c r="G3" t="inlineStr">
        <is>
          <t>REVIEW</t>
        </is>
      </c>
    </row>
    <row r="4">
      <c r="A4" t="inlineStr">
        <is>
          <t>Q1-24</t>
        </is>
      </c>
      <c r="B4" t="inlineStr">
        <is>
          <t>Mar</t>
        </is>
      </c>
      <c r="C4" t="inlineStr">
        <is>
          <t>Near Prime</t>
        </is>
      </c>
      <c r="D4" t="n">
        <v>0.04</v>
      </c>
      <c r="E4" t="n">
        <v>0.043</v>
      </c>
      <c r="F4">
        <f>(E4-D4)/D4</f>
        <v/>
      </c>
      <c r="G4" t="inlineStr">
        <is>
          <t>OK</t>
        </is>
      </c>
    </row>
    <row r="5">
      <c r="A5" t="inlineStr">
        <is>
          <t>Q4-23</t>
        </is>
      </c>
      <c r="B5" t="inlineStr">
        <is>
          <t>Oct</t>
        </is>
      </c>
      <c r="C5" t="inlineStr">
        <is>
          <t>Subprime</t>
        </is>
      </c>
      <c r="D5" t="n">
        <v>0.105</v>
      </c>
      <c r="E5" t="n">
        <v>0.132</v>
      </c>
      <c r="F5">
        <f>(E5-D5)/D5</f>
        <v/>
      </c>
      <c r="G5" t="inlineStr">
        <is>
          <t>REVIEW</t>
        </is>
      </c>
    </row>
    <row r="6">
      <c r="A6" t="inlineStr">
        <is>
          <t>Q4-23</t>
        </is>
      </c>
      <c r="B6" t="inlineStr">
        <is>
          <t>Nov</t>
        </is>
      </c>
      <c r="C6" t="inlineStr">
        <is>
          <t>Subprime</t>
        </is>
      </c>
      <c r="D6" t="n">
        <v>0.108</v>
      </c>
      <c r="E6" t="n">
        <v>0.119</v>
      </c>
      <c r="F6">
        <f>(E6-D6)/D6</f>
        <v/>
      </c>
      <c r="G6" t="inlineStr">
        <is>
          <t>MONITOR</t>
        </is>
      </c>
    </row>
    <row r="7">
      <c r="A7" t="inlineStr">
        <is>
          <t>Q3-23</t>
        </is>
      </c>
      <c r="B7" t="inlineStr">
        <is>
          <t>Jul</t>
        </is>
      </c>
      <c r="C7" t="inlineStr">
        <is>
          <t>Deep Sub</t>
        </is>
      </c>
      <c r="D7" t="n">
        <v>0.195</v>
      </c>
      <c r="E7" t="n">
        <v>0.261</v>
      </c>
      <c r="F7">
        <f>(E7-D7)/D7</f>
        <v/>
      </c>
      <c r="G7" t="inlineStr">
        <is>
          <t>REVIEW</t>
        </is>
      </c>
    </row>
    <row r="8">
      <c r="A8" t="inlineStr">
        <is>
          <t>Q3-23</t>
        </is>
      </c>
      <c r="B8" t="inlineStr">
        <is>
          <t>Aug</t>
        </is>
      </c>
      <c r="C8" t="inlineStr">
        <is>
          <t>Deep Sub</t>
        </is>
      </c>
      <c r="D8" t="n">
        <v>0.201</v>
      </c>
      <c r="E8" t="n">
        <v>0.247</v>
      </c>
      <c r="F8">
        <f>(E8-D8)/D8</f>
        <v/>
      </c>
      <c r="G8" t="inlineStr">
        <is>
          <t>REVIEW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Segment</t>
        </is>
      </c>
      <c r="C1" t="inlineStr">
        <is>
          <t>Overlay Applied</t>
        </is>
      </c>
      <c r="D1" t="inlineStr">
        <is>
          <t>Trigger</t>
        </is>
      </c>
      <c r="E1" t="inlineStr">
        <is>
          <t>Approved By</t>
        </is>
      </c>
      <c r="F1" t="inlineStr">
        <is>
          <t>Removal Date</t>
        </is>
      </c>
    </row>
    <row r="2">
      <c r="A2" t="inlineStr">
        <is>
          <t>2024-06-15</t>
        </is>
      </c>
      <c r="B2" t="inlineStr">
        <is>
          <t>Near Prime</t>
        </is>
      </c>
      <c r="C2" t="inlineStr">
        <is>
          <t>+1.2%</t>
        </is>
      </c>
      <c r="D2" t="inlineStr">
        <is>
          <t>Q1 cohort variance &gt;25%</t>
        </is>
      </c>
      <c r="E2" t="inlineStr"/>
      <c r="F2" t="inlineStr"/>
    </row>
    <row r="3">
      <c r="A3" t="inlineStr">
        <is>
          <t>2024-06-15</t>
        </is>
      </c>
      <c r="B3" t="inlineStr">
        <is>
          <t>Subprime</t>
        </is>
      </c>
      <c r="C3" t="inlineStr">
        <is>
          <t>+3.1%</t>
        </is>
      </c>
      <c r="D3" t="inlineStr">
        <is>
          <t>DQ trend + cohort miss</t>
        </is>
      </c>
      <c r="E3" t="inlineStr"/>
      <c r="F3" t="inlineStr"/>
    </row>
    <row r="4">
      <c r="A4" t="inlineStr">
        <is>
          <t>2024-03-01</t>
        </is>
      </c>
      <c r="B4" t="inlineStr">
        <is>
          <t>Deep Subprime</t>
        </is>
      </c>
      <c r="C4" t="inlineStr">
        <is>
          <t>+4.5%</t>
        </is>
      </c>
      <c r="D4" t="inlineStr">
        <is>
          <t>New product buffer</t>
        </is>
      </c>
      <c r="E4" t="inlineStr"/>
      <c r="F4" t="inlineStr"/>
    </row>
    <row r="5">
      <c r="A5" t="inlineStr">
        <is>
          <t>2023-12-01</t>
        </is>
      </c>
      <c r="B5" t="inlineStr">
        <is>
          <t>Subprime</t>
        </is>
      </c>
      <c r="C5" t="inlineStr">
        <is>
          <t>+2.8%</t>
        </is>
      </c>
      <c r="D5" t="inlineStr">
        <is>
          <t>Macro deterioration</t>
        </is>
      </c>
      <c r="E5" t="inlineStr"/>
      <c r="F5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Real subprime threshold</t>
        </is>
      </c>
      <c r="B2" t="inlineStr">
        <is>
          <t>0.18 (not in any config file)</t>
        </is>
      </c>
    </row>
    <row r="3">
      <c r="A3" t="inlineStr">
        <is>
          <t>Real deep_sub threshold</t>
        </is>
      </c>
      <c r="B3" t="inlineStr">
        <is>
          <t>0.28 (I set this based on vintage performance)</t>
        </is>
      </c>
    </row>
    <row r="4">
      <c r="A4" t="inlineStr">
        <is>
          <t>Overlay cap</t>
        </is>
      </c>
      <c r="B4" t="inlineStr">
        <is>
          <t>5% max per segment</t>
        </is>
      </c>
    </row>
    <row r="5">
      <c r="A5" t="inlineStr">
        <is>
          <t>Board escalation threshold</t>
        </is>
      </c>
      <c r="B5" t="inlineStr">
        <is>
          <t>$10M — verbal from CFO, not in policy</t>
        </is>
      </c>
    </row>
    <row r="6">
      <c r="A6" t="inlineStr">
        <is>
          <t>When legacy shortcut is OK</t>
        </is>
      </c>
      <c r="B6" t="inlineStr">
        <is>
          <t>GDP growth &gt; 1.5% and no Fed rate changes</t>
        </is>
      </c>
    </row>
    <row r="7">
      <c r="A7" t="inlineStr">
        <is>
          <t>Overlay removal rule</t>
        </is>
      </c>
      <c r="B7" t="inlineStr">
        <is>
          <t>3 consecutive months of &lt;10% variance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2026-02-15T01:06:26Z</dcterms:created>
  <dcterms:modified xmlns:dcterms="http://purl.org/dc/terms/" xmlns:xsi="http://www.w3.org/2001/XMLSchema-instance" xsi:type="dcterms:W3CDTF">2026-02-15T01:06:26Z</dcterms:modified>
</cp:coreProperties>
</file>